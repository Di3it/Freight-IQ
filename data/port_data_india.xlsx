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c1500fcaba6e3c7/Desktop/"/>
    </mc:Choice>
  </mc:AlternateContent>
  <xr:revisionPtr revIDLastSave="126" documentId="8_{C131E99D-92E4-4F2D-8546-E0F67386A045}" xr6:coauthVersionLast="47" xr6:coauthVersionMax="47" xr10:uidLastSave="{DC5E8726-1882-4FAE-98AC-0422F0E21C15}"/>
  <bookViews>
    <workbookView xWindow="-108" yWindow="-108" windowWidth="23256" windowHeight="12456" xr2:uid="{00000000-000D-0000-FFFF-FFFF00000000}"/>
  </bookViews>
  <sheets>
    <sheet name="Port Infrastructure Data" sheetId="1" r:id="rId1"/>
    <sheet name="Data Notes" sheetId="2" r:id="rId2"/>
    <sheet name="Source Register" sheetId="3" r:id="rId3"/>
  </sheets>
  <definedNames>
    <definedName name="_xlnm._FilterDatabase" localSheetId="0" hidden="1">'Port Infrastructure Data'!$A$4:$N$37</definedName>
    <definedName name="_xlnm.Print_Titles" localSheetId="0">'Port Infrastructure Data'!$1:$4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<sst xmlns="http://schemas.openxmlformats.org/spreadsheetml/2006/main" count="467" uniqueCount="213">
  <si>
    <t>SIH26006 — Port Infrastructure Master Dataset (Coal / Dry Bulk)</t>
  </si>
  <si>
    <t>Port_Name</t>
  </si>
  <si>
    <t>Country</t>
  </si>
  <si>
    <t>Berth_Name</t>
  </si>
  <si>
    <t>Commodity</t>
  </si>
  <si>
    <t>Max_LOA_m</t>
  </si>
  <si>
    <t>Max_Beam_m</t>
  </si>
  <si>
    <t>Max_Draft_m</t>
  </si>
  <si>
    <t>Max_Draft_HighTide_m</t>
  </si>
  <si>
    <t>Approach_Channel_Depth_m</t>
  </si>
  <si>
    <t>Cargo_Handling_Rate_MT_hr</t>
  </si>
  <si>
    <t>Annual_Capacity_MTPA</t>
  </si>
  <si>
    <t>Max_DWT</t>
  </si>
  <si>
    <t>Special_Restrictions</t>
  </si>
  <si>
    <t>Paradip</t>
  </si>
  <si>
    <t>India</t>
  </si>
  <si>
    <t>Berth No. 03 – New Coal Import Berth</t>
  </si>
  <si>
    <t>Coking Coal</t>
  </si>
  <si>
    <t>Berthing up to 16 m draft during high tide; mechanised berth</t>
  </si>
  <si>
    <t>paradipport.gov.in</t>
  </si>
  <si>
    <t>Berth No. 05 – Coal Berth-01</t>
  </si>
  <si>
    <t>Thermal Coal</t>
  </si>
  <si>
    <t>Draft up to 16 m allowed during high tide; mechanised berth</t>
  </si>
  <si>
    <t>Berth No. 06 – Coal Berth-02</t>
  </si>
  <si>
    <t>Mechanised berth</t>
  </si>
  <si>
    <t>Vizag</t>
  </si>
  <si>
    <t>VGCB – Vizag General Cargo Berth</t>
  </si>
  <si>
    <t>Coal</t>
  </si>
  <si>
    <t>Fully mechanised coal terminal; outer-harbour Super Cape; permissible draft subject to tide</t>
  </si>
  <si>
    <t>vizagport.com</t>
  </si>
  <si>
    <t>WQ-2 / WQ-3</t>
  </si>
  <si>
    <t>Thermal/Cooking Coal</t>
  </si>
  <si>
    <t>Coal berth; inner harbour; current berth particulars list 13.5 m permissible draft</t>
  </si>
  <si>
    <t>Gangavaram</t>
  </si>
  <si>
    <t>Mechanised Coal Berths – 2 berths</t>
  </si>
  <si>
    <t>Two fully mechanised coal berths; port can handle fully laden Cape-size vessels up to 200,000 DWT; 24x7 operations</t>
  </si>
  <si>
    <t>adaniports.com</t>
  </si>
  <si>
    <t>Gopalpur</t>
  </si>
  <si>
    <t>Berth Nos. 1, 2 &amp; 3 – Coastal Coal Handling</t>
  </si>
  <si>
    <t>Draft varies by season/weather and inward/outward movement: fair weather 13.70 m SW / 14.20 m DW; foul weather 13.10 m SW / 13.50 m DW; 5 MTPA coastal coal capacity</t>
  </si>
  <si>
    <t>gopalpurports.in</t>
  </si>
  <si>
    <t>Dhamra</t>
  </si>
  <si>
    <t>BB-1 / BB-2 – Mechanised Bulk Import Berths</t>
  </si>
  <si>
    <t>Coal / Bulk</t>
  </si>
  <si>
    <t>Two mechanised bulk import berths; loaded Cape berthing tied to tide windows; maximum permissible draft is promulgated monthly; 4,000 tph is rapid-loading silo capacity, not a guaranteed berth rate</t>
  </si>
  <si>
    <t>BB-3 – Mechanised Bulk Export Berth</t>
  </si>
  <si>
    <t>Mechanised export berth; vessel berthing/unberthing subject to tide windows and prevailing conditions; monthly draft declaration applies</t>
  </si>
  <si>
    <t>Sagar-Sandheads</t>
  </si>
  <si>
    <t>Sagar Anchorage / Sandheads Lighterage Point</t>
  </si>
  <si>
    <t>Dry Bulk / Coal</t>
  </si>
  <si>
    <t>Anchorage/lighterage operation rather than conventional berth; deep-draft Cape vessels can be handled with floating/ship cranes; channel constraints require lighterage for Haldia</t>
  </si>
  <si>
    <t>pib.gov.in</t>
  </si>
  <si>
    <t>Haldia</t>
  </si>
  <si>
    <t>Berth No. 3 – Mechanical Thermal Coal Handling Facility</t>
  </si>
  <si>
    <t>Rejuvenated mechanical thermal coal facility; current depth 9.1 m in 2024-25 report; coastal thermal coal handling resumed in July 2026</t>
  </si>
  <si>
    <t>smportkolkata.shipping.gov.in</t>
  </si>
  <si>
    <t>Berth No. 1 – Multipurpose Dry Bulk</t>
  </si>
  <si>
    <t>Coke / Coal / Ore / Limestone</t>
  </si>
  <si>
    <t>Multipurpose dry-bulk berth; present depth 7.1 m in 2024-25 report</t>
  </si>
  <si>
    <t>Berth No. 2 – Multipurpose Dry Bulk</t>
  </si>
  <si>
    <t>Multipurpose dry-bulk berth; present depth 8.1 m in 2024-25 report</t>
  </si>
  <si>
    <t>Newcastle NCIG</t>
  </si>
  <si>
    <t>Australia</t>
  </si>
  <si>
    <t>NCIG Coal Terminal</t>
  </si>
  <si>
    <t>Bulk carrier; minimum cargo 35,000 DWT; vessels &gt;251 m LOA target 6,200 tph / minimum 5,500 tph; older vessels may require additional vetting</t>
  </si>
  <si>
    <t>ncig.com.au</t>
  </si>
  <si>
    <t>Hay Point DBCT</t>
  </si>
  <si>
    <t>DBCT Berth 1</t>
  </si>
  <si>
    <t>Design depth 19.6 m LAT; minimum channel depth 14.9 m LAT; shiploaders 7,200/7,600/8,650 tph; vessel dimensions must satisfy terminal requirements</t>
  </si>
  <si>
    <t>dbct.com.au</t>
  </si>
  <si>
    <t>DBCT Berth 2</t>
  </si>
  <si>
    <t>Design depth 19.6 m LAT; minimum channel depth 14.9 m LAT</t>
  </si>
  <si>
    <t>DBCT Berth 3</t>
  </si>
  <si>
    <t>Design depth 19.0 m LAT; minimum channel depth 14.9 m LAT</t>
  </si>
  <si>
    <t>DBCT Berth 4</t>
  </si>
  <si>
    <t>Hay Point HPCT</t>
  </si>
  <si>
    <t>HPCT Berth 1</t>
  </si>
  <si>
    <t>NQBP published berth dimensions; figures noted by NQBP as correct as of July 2015</t>
  </si>
  <si>
    <t>nqbp.com.au</t>
  </si>
  <si>
    <t>HPCT Berth 2</t>
  </si>
  <si>
    <t>HPCT Berth 3</t>
  </si>
  <si>
    <t>Taboneo</t>
  </si>
  <si>
    <t>Indonesia</t>
  </si>
  <si>
    <t>Taboneo Floating Terminal – STS Loading Points</t>
  </si>
  <si>
    <t>61 designated loading points; floating STS terminal; 24x7 operations; loading/unloading stops above Beaufort 5 (&gt;20 knots / waves &gt;2 m); no fixed berth dimensions published on current operator page</t>
  </si>
  <si>
    <t>ptkoneport.com</t>
  </si>
  <si>
    <t>Muara Berau</t>
  </si>
  <si>
    <t>Muara Berau Anchorage – Coal Loading</t>
  </si>
  <si>
    <t>Open-sea anchorage/coal loading location; exact current maximum LOA/beam/draft not published in the official source located; do not infer from individual vessel calls</t>
  </si>
  <si>
    <t>New Orleans</t>
  </si>
  <si>
    <t>USA</t>
  </si>
  <si>
    <t>Mississippi River Ship Channel / Bulk Facilities</t>
  </si>
  <si>
    <t>Coal / Dry Bulk</t>
  </si>
  <si>
    <t>50 ft (15.24 m) maximum draft currently available through the relevant lower Mississippi channel reach; exact coal-berth LOA/beam/DWT depends on facility and river reach</t>
  </si>
  <si>
    <t>portnola.com</t>
  </si>
  <si>
    <t>Beira</t>
  </si>
  <si>
    <t>Mozambique</t>
  </si>
  <si>
    <t>Beira Port – General/Dry Bulk Terminal</t>
  </si>
  <si>
    <t>Third-party port information source; pilot/tugs and tide/weather restrictions apply; use as provisional until CFM/port-specific berth circular is obtained</t>
  </si>
  <si>
    <t>mozva.com</t>
  </si>
  <si>
    <t>Nacala</t>
  </si>
  <si>
    <t>General Cargo Terminal</t>
  </si>
  <si>
    <t>Dry Bulk</t>
  </si>
  <si>
    <t>CFM states 631 m terminal length, 9.7 m draft and 2.4 MTPA annual handling capacity; current source does not publish max LOA/beam/DWT</t>
  </si>
  <si>
    <t>cfm.co.mz</t>
  </si>
  <si>
    <t>Taman</t>
  </si>
  <si>
    <t>Russia</t>
  </si>
  <si>
    <t>Berth No. 1 – Bulk Cargo Terminal</t>
  </si>
  <si>
    <t>DWT over 160,000 t requires special terminal permission; safe draft 18.5 m with swell up to 0.8 m; 18.1 m with swell up to 1.2 m</t>
  </si>
  <si>
    <t>eisa-moscow.ru</t>
  </si>
  <si>
    <t>Berth No. 2 – Bulk Cargo Terminal</t>
  </si>
  <si>
    <t>DWT over 160,000 t requires special terminal permission; coal loading berth</t>
  </si>
  <si>
    <t>Berth No. 3 – Bulk Cargo Terminal</t>
  </si>
  <si>
    <t>Coal / Sulfur</t>
  </si>
  <si>
    <t>Safe draft 14.5 m with swell up to 0.6 m</t>
  </si>
  <si>
    <t>Berth No. 4 – Bulk Cargo Terminal</t>
  </si>
  <si>
    <t>Safe draft 12.5 m with swell up to 1 m</t>
  </si>
  <si>
    <t>Ust-Luga</t>
  </si>
  <si>
    <t>Coal Terminal (RTU) – Berth 1</t>
  </si>
  <si>
    <t>Berth-specific values from EISA port technical table</t>
  </si>
  <si>
    <t>Coal Terminal (RTU) – Berth 2</t>
  </si>
  <si>
    <t>Vanino</t>
  </si>
  <si>
    <t>Coal Transshipment Complex – Berth 2</t>
  </si>
  <si>
    <t>Rosmorport states berth-2 design vessels of SN-163 type: 292 m LOA, 45 m beam, loaded draft 17.1 m; operational water area depth marks -21 and -21.2 m; coal transshipment complex</t>
  </si>
  <si>
    <t>rosmorport.com</t>
  </si>
  <si>
    <t>DATA QUALITY / USAGE NOTES</t>
  </si>
  <si>
    <t>1</t>
  </si>
  <si>
    <t>The workbook follows the uploaded PDF template: one row per relevant berth/terminal.</t>
  </si>
  <si>
    <t>2</t>
  </si>
  <si>
    <t>Blank cells mean the requested figure was not published or could not be verified from the source used; no value was invented.</t>
  </si>
  <si>
    <t>3</t>
  </si>
  <si>
    <t>Where a source gives a port/terminal capacity rather than a berth-specific hourly rate, the value is recorded in Annual_Capacity_MTPA or noted in Special_Restrictions.</t>
  </si>
  <si>
    <t>4</t>
  </si>
  <si>
    <t>For tide/swell-dependent limits, the restriction is preserved in Special_Restrictions and the corresponding high-tide field is populated only where explicitly stated.</t>
  </si>
  <si>
    <t>5</t>
  </si>
  <si>
    <t>Some overseas anchorage terminals (e.g., Taboneo and Muara Berau) do not publish fixed berth dimensions because loading occurs at offshore/STS positions.</t>
  </si>
  <si>
    <t>6</t>
  </si>
  <si>
    <t>Dhamra monthly permissible draft is operationally variable; the dataset therefore does not treat a static design draft as a guaranteed current draft.</t>
  </si>
  <si>
    <t>7</t>
  </si>
  <si>
    <t>HPCT berth figures on the current NQBP page are explicitly identified as figures correct as of July 2015; they should be refreshed before production deployment.</t>
  </si>
  <si>
    <t>8</t>
  </si>
  <si>
    <t>Source_URL contains the primary/official source where available. A third-party source is explicitly flagged in Special_Restrictions.</t>
  </si>
  <si>
    <t>Port</t>
  </si>
  <si>
    <t>Primary Source / Website</t>
  </si>
  <si>
    <t>Source Type</t>
  </si>
  <si>
    <t>What was extracted</t>
  </si>
  <si>
    <t>Paradip Port Authority</t>
  </si>
  <si>
    <t>Official port authority</t>
  </si>
  <si>
    <t>Berth LOA, beam, draft, high-tide restriction, cargo berth classification</t>
  </si>
  <si>
    <t>Visakhapatnam Port Authority</t>
  </si>
  <si>
    <t>Coal berth dimensions, draft, outer/inner harbour information</t>
  </si>
  <si>
    <t>Adani Gangavaram Port</t>
  </si>
  <si>
    <t>Official terminal</t>
  </si>
  <si>
    <t>Coal berths, port depth/capacity, max DWT, 24x7 operations</t>
  </si>
  <si>
    <t>Gopalpur Ports Limited / Adani Ports</t>
  </si>
  <si>
    <t>Vessel size, seasonal draft, harbour depth, coal capacity</t>
  </si>
  <si>
    <t>Adani Ports / Dhamra Port</t>
  </si>
  <si>
    <t>Bulk berth LOA/displacement, navigation channel, operational restrictions, capacity</t>
  </si>
  <si>
    <t>Syama Prasad Mookerjee Port / PIB</t>
  </si>
  <si>
    <t>Government / port authority</t>
  </si>
  <si>
    <t>Anchorage dry-bulk lighterage, actual Cape vessel dimensions and cargo</t>
  </si>
  <si>
    <t>Syama Prasad Mookerjee Port Authority</t>
  </si>
  <si>
    <t>Berth depth, LOA, designed DWT and coal berth classification</t>
  </si>
  <si>
    <t>Newcastle Coal Infrastructure Group (NCIG)</t>
  </si>
  <si>
    <t>Vessel acceptance criteria, LOA, beam, minimum DWT, loading rates</t>
  </si>
  <si>
    <t>Dalrymple Bay Coal Terminal</t>
  </si>
  <si>
    <t>Berth depth, channel depth, max DWT, shiploader rates</t>
  </si>
  <si>
    <t>North Queensland Bulk Ports (NQBP)</t>
  </si>
  <si>
    <t>Berth depth/length, max DWT, shiploader rates</t>
  </si>
  <si>
    <t>PT Indonesia Multi Purpose Terminal / PT KonePort</t>
  </si>
  <si>
    <t>Official terminal/operator</t>
  </si>
  <si>
    <t>STS loading points and weather operating restrictions</t>
  </si>
  <si>
    <t>Directorate General of Sea Transportation / Indonesian port sources</t>
  </si>
  <si>
    <t>Government / port system</t>
  </si>
  <si>
    <t>Port identity; exact current fixed berth limits not found</t>
  </si>
  <si>
    <t>Port NOLA / U.S. Army Corps of Engineers</t>
  </si>
  <si>
    <t>Official port / federal</t>
  </si>
  <si>
    <t>Mississippi River Ship Channel draft and deepening</t>
  </si>
  <si>
    <t>Mozambique Vessel Agency (MozVA)</t>
  </si>
  <si>
    <t>Recent port information, third-party</t>
  </si>
  <si>
    <t>General/dry bulk vessel dimensions and draft; provisional</t>
  </si>
  <si>
    <t>CFM – Caminhos de Ferro de Moçambique</t>
  </si>
  <si>
    <t>General cargo terminal length, draft, annual capacity</t>
  </si>
  <si>
    <t>EISA / Taman Bulk Cargo Terminal information</t>
  </si>
  <si>
    <t>Recent terminal information</t>
  </si>
  <si>
    <t>Coal berth LOA, beam, draft, DWT and swell restrictions</t>
  </si>
  <si>
    <t>EISA – Ust-Luga port information</t>
  </si>
  <si>
    <t>Coal terminal berth dimensions and draft</t>
  </si>
  <si>
    <t>Rosmorport</t>
  </si>
  <si>
    <t>Official Russian port infrastructure authority</t>
  </si>
  <si>
    <t>Coal berth design vessel dimensions and water-area depth</t>
  </si>
  <si>
    <t xml:space="preserve">Indian East Coast destination ports + overseas coal-loading ports </t>
  </si>
  <si>
    <t>A mandatory ship-to-ship tax paid to PTB and strict digital approval process</t>
  </si>
  <si>
    <t>https://ptb.co.id</t>
  </si>
  <si>
    <t>NA</t>
  </si>
  <si>
    <t xml:space="preserve">                                NA</t>
  </si>
  <si>
    <t xml:space="preserve"> NA</t>
  </si>
  <si>
    <t>LONGITUDE</t>
  </si>
  <si>
    <t>LATITUDE</t>
  </si>
  <si>
    <t>20.2667° N</t>
  </si>
  <si>
    <t>86.6743° E</t>
  </si>
  <si>
    <t>19.3039° N</t>
  </si>
  <si>
    <t>84.9642° E</t>
  </si>
  <si>
    <t>17.6868° N</t>
  </si>
  <si>
    <t>83.2185° E</t>
  </si>
  <si>
    <t>17.6247° N</t>
  </si>
  <si>
    <t>83.2414° E</t>
  </si>
  <si>
    <t>20.8280° N</t>
  </si>
  <si>
    <t>86.9496° E</t>
  </si>
  <si>
    <t>21.6500° N</t>
  </si>
  <si>
    <t>88.1000° E</t>
  </si>
  <si>
    <t>22.0333° N</t>
  </si>
  <si>
    <t>88.0833°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</si>
</sst>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6"/>
      <name val="Calibri"/>
    </font>
    <font>
      <i/>
      <sz val="10"/>
      <name val="Calibri"/>
    </font>
    <font>
      <b/>
      <sz val="11"/>
      <color rgb="FFFFFFFF"/>
      <name val="Calibri"/>
    </font>
    <font>
      <b/>
      <sz val="15"/>
      <name val="Calibri"/>
    </font>
    <font>
      <sz val="12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4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/>
  </cellStyleXfs>
  <cellXfs count="18">
    <xf numFmtId="0" fontId="0" fillId="0" borderId="0" xfId="0"/>
    <xf numFmtId="0" fontId="0" fillId="0" borderId="0" xfId="0" applyAlignment="1">
      <alignment vertical="top" wrapText="1"/>
    </xf>
    <xf numFmtId="0" fontId="4" fillId="0" borderId="0" xfId="0" applyFont="1"/>
    <xf numFmtId="0" fontId="3" fillId="2" borderId="0" xfId="0" applyFont="1" applyFill="1"/>
    <xf numFmtId="0" fontId="5" fillId="0" borderId="1" xfId="1" applyBorder="1"/>
    <xf numFmtId="0" fontId="0" fillId="0" borderId="1" xfId="0" applyBorder="1"/>
    <xf numFmtId="0" fontId="0" fillId="0" borderId="1" xfId="0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4" fontId="0" fillId="3" borderId="1" xfId="0" applyNumberFormat="1" applyFill="1" applyBorder="1" applyAlignment="1">
      <alignment vertical="top" wrapText="1"/>
    </xf>
    <xf numFmtId="0" fontId="6" fillId="0" borderId="1" xfId="1" applyFont="1" applyBorder="1"/>
    <xf numFmtId="0" fontId="7" fillId="0" borderId="1" xfId="1" applyFont="1" applyBorder="1"/>
    <xf numFmtId="0" fontId="8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smportkolkata.shipping.gov.in/smpk/wp-content/uploads/2026/04/Administrative-Report-2024-2025-Soft-Copy_compressed.pdf" TargetMode="External"/><Relationship Id="rId18" Type="http://schemas.openxmlformats.org/officeDocument/2006/relationships/hyperlink" Target="https://www.dbct.com.au/requirements-for-vessels-at-dbct" TargetMode="External"/><Relationship Id="rId26" Type="http://schemas.openxmlformats.org/officeDocument/2006/relationships/hyperlink" Target="https://www.eisa-moscow.ru/port/taman/" TargetMode="External"/><Relationship Id="rId3" Type="http://schemas.openxmlformats.org/officeDocument/2006/relationships/hyperlink" Target="https://paradipport.gov.in/berth-specifications/" TargetMode="External"/><Relationship Id="rId21" Type="http://schemas.openxmlformats.org/officeDocument/2006/relationships/hyperlink" Target="https://nqbp.com.au/trade/berths-and-wharf-capability" TargetMode="External"/><Relationship Id="rId34" Type="http://schemas.openxmlformats.org/officeDocument/2006/relationships/hyperlink" Target="https://ptb.co.id/" TargetMode="External"/><Relationship Id="rId7" Type="http://schemas.openxmlformats.org/officeDocument/2006/relationships/hyperlink" Target="https://www.gopalpurports.in/wp-content/uploads/2022/12/MAXIMUM-PERMISSIBLE-SIZE-AND-DRAFT-OF-A-VESSEL.pdf" TargetMode="External"/><Relationship Id="rId12" Type="http://schemas.openxmlformats.org/officeDocument/2006/relationships/hyperlink" Target="https://smportkolkata.shipping.gov.in/smpk/wp-content/uploads/2026/04/Administrative-Report-2024-2025-Soft-Copy_compressed.pdf" TargetMode="External"/><Relationship Id="rId17" Type="http://schemas.openxmlformats.org/officeDocument/2006/relationships/hyperlink" Target="https://www.dbct.com.au/requirements-for-vessels-at-dbct" TargetMode="External"/><Relationship Id="rId25" Type="http://schemas.openxmlformats.org/officeDocument/2006/relationships/hyperlink" Target="https://www.cfm.co.mz/en/terminal-de-carga-geral-2/" TargetMode="External"/><Relationship Id="rId33" Type="http://schemas.openxmlformats.org/officeDocument/2006/relationships/hyperlink" Target="https://www.dephub.go.id/" TargetMode="External"/><Relationship Id="rId2" Type="http://schemas.openxmlformats.org/officeDocument/2006/relationships/hyperlink" Target="https://paradipport.gov.in/berth-specifications/" TargetMode="External"/><Relationship Id="rId16" Type="http://schemas.openxmlformats.org/officeDocument/2006/relationships/hyperlink" Target="https://www.dbct.com.au/requirements-for-vessels-at-dbct" TargetMode="External"/><Relationship Id="rId20" Type="http://schemas.openxmlformats.org/officeDocument/2006/relationships/hyperlink" Target="https://nqbp.com.au/trade/berths-and-wharf-capability" TargetMode="External"/><Relationship Id="rId29" Type="http://schemas.openxmlformats.org/officeDocument/2006/relationships/hyperlink" Target="https://www.eisa-moscow.ru/port/taman/" TargetMode="External"/><Relationship Id="rId1" Type="http://schemas.openxmlformats.org/officeDocument/2006/relationships/hyperlink" Target="https://paradipport.gov.in/berth-specifications/" TargetMode="External"/><Relationship Id="rId6" Type="http://schemas.openxmlformats.org/officeDocument/2006/relationships/hyperlink" Target="https://www.adaniports.com/-/media/Project/Ports/Gangavaram-Port/Downloads/BPTS-2024---011124.pdf" TargetMode="External"/><Relationship Id="rId11" Type="http://schemas.openxmlformats.org/officeDocument/2006/relationships/hyperlink" Target="https://smportkolkata.shipping.gov.in/smpk/wp-content/uploads/2026/04/Administrative-Report-2024-2025-Soft-Copy_compressed.pdf" TargetMode="External"/><Relationship Id="rId24" Type="http://schemas.openxmlformats.org/officeDocument/2006/relationships/hyperlink" Target="https://www.mozva.com/content/port-information" TargetMode="External"/><Relationship Id="rId32" Type="http://schemas.openxmlformats.org/officeDocument/2006/relationships/hyperlink" Target="https://rosmorport.com/services/developmentofports/" TargetMode="External"/><Relationship Id="rId5" Type="http://schemas.openxmlformats.org/officeDocument/2006/relationships/hyperlink" Target="https://vizagport.com/Template/navigateTemplate/gnt/QmVydGhz" TargetMode="External"/><Relationship Id="rId15" Type="http://schemas.openxmlformats.org/officeDocument/2006/relationships/hyperlink" Target="https://www.dbct.com.au/requirements-for-vessels-at-dbct" TargetMode="External"/><Relationship Id="rId23" Type="http://schemas.openxmlformats.org/officeDocument/2006/relationships/hyperlink" Target="https://portnola.com/info/news-media/press-releases/louisiana-leaders-celebrate-deepening-of-the-mississippi-river-ship-channel" TargetMode="External"/><Relationship Id="rId28" Type="http://schemas.openxmlformats.org/officeDocument/2006/relationships/hyperlink" Target="https://www.eisa-moscow.ru/port/taman/" TargetMode="External"/><Relationship Id="rId10" Type="http://schemas.openxmlformats.org/officeDocument/2006/relationships/hyperlink" Target="https://www.pib.gov.in/PressReleasePage.aspx?PRID=1856416&amp;lang=2&amp;reg=48" TargetMode="External"/><Relationship Id="rId19" Type="http://schemas.openxmlformats.org/officeDocument/2006/relationships/hyperlink" Target="https://nqbp.com.au/trade/berths-and-wharf-capability" TargetMode="External"/><Relationship Id="rId31" Type="http://schemas.openxmlformats.org/officeDocument/2006/relationships/hyperlink" Target="https://www.eisa-moscow.ru/port/ust-luga/" TargetMode="External"/><Relationship Id="rId4" Type="http://schemas.openxmlformats.org/officeDocument/2006/relationships/hyperlink" Target="https://vizagport.com/admin_assets/uploads/1640237145_Berth%20Details.pdf" TargetMode="External"/><Relationship Id="rId9" Type="http://schemas.openxmlformats.org/officeDocument/2006/relationships/hyperlink" Target="https://www.adaniports.com/-/media/Project/Ports/PortsAndTerminals/Dhamra-Port/Documents/DPCL-Port-Information.pdf" TargetMode="External"/><Relationship Id="rId14" Type="http://schemas.openxmlformats.org/officeDocument/2006/relationships/hyperlink" Target="https://ncig.com.au/wp-content/uploads/2022/03/OPS.07.02-NCIG-CET-Operations-Handbook-Version-6-_-FINAL.pdf" TargetMode="External"/><Relationship Id="rId22" Type="http://schemas.openxmlformats.org/officeDocument/2006/relationships/hyperlink" Target="https://www.ptkoneport.com/web/detil/84" TargetMode="External"/><Relationship Id="rId27" Type="http://schemas.openxmlformats.org/officeDocument/2006/relationships/hyperlink" Target="https://www.eisa-moscow.ru/port/taman/" TargetMode="External"/><Relationship Id="rId30" Type="http://schemas.openxmlformats.org/officeDocument/2006/relationships/hyperlink" Target="https://www.eisa-moscow.ru/port/ust-luga/" TargetMode="External"/><Relationship Id="rId8" Type="http://schemas.openxmlformats.org/officeDocument/2006/relationships/hyperlink" Target="https://www.adaniports.com/-/media/Project/Ports/PortsAndTerminals/Dhamra-Port/Documents/DPCL-Port-Informatio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8"/>
  <sheetViews>
    <sheetView showGridLines="0" tabSelected="1" zoomScale="92" zoomScaleNormal="92" workbookViewId="0">
      <pane xSplit="4" ySplit="4" topLeftCell="M14" activePane="bottomRight" state="frozen"/>
      <selection pane="topRight"/>
      <selection pane="bottomLeft"/>
      <selection pane="bottomRight" activeCell="P15" sqref="P15:P17"/>
    </sheetView>
  </sheetViews>
  <sheetFormatPr defaultRowHeight="14.4" x14ac:dyDescent="0.3"/>
  <cols>
    <col min="1" max="1" width="20" customWidth="1"/>
    <col min="2" max="2" width="14" customWidth="1"/>
    <col min="3" max="3" width="38" customWidth="1"/>
    <col min="4" max="4" width="24" customWidth="1"/>
    <col min="5" max="5" width="17.5546875" bestFit="1" customWidth="1"/>
    <col min="6" max="6" width="19" bestFit="1" customWidth="1"/>
    <col min="7" max="7" width="23.5546875" customWidth="1"/>
    <col min="8" max="8" width="27.109375" bestFit="1" customWidth="1"/>
    <col min="9" max="9" width="29.109375" bestFit="1" customWidth="1"/>
    <col min="10" max="10" width="32.88671875" bestFit="1" customWidth="1"/>
    <col min="11" max="11" width="33.5546875" bestFit="1" customWidth="1"/>
    <col min="12" max="12" width="37" bestFit="1" customWidth="1"/>
    <col min="13" max="13" width="73.109375" bestFit="1" customWidth="1"/>
    <col min="14" max="14" width="62" customWidth="1"/>
    <col min="15" max="15" width="14.21875" bestFit="1" customWidth="1"/>
    <col min="16" max="16" width="11.77734375" bestFit="1" customWidth="1"/>
  </cols>
  <sheetData>
    <row r="1" spans="1:16" ht="28.05" customHeight="1" x14ac:dyDescent="0.3">
      <c r="A1" s="15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6" x14ac:dyDescent="0.3">
      <c r="A2" s="13" t="s">
        <v>191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4" spans="1:16" ht="34.049999999999997" customHeight="1" x14ac:dyDescent="0.3">
      <c r="A4" s="12" t="s">
        <v>1</v>
      </c>
      <c r="B4" s="12" t="s">
        <v>2</v>
      </c>
      <c r="C4" s="12" t="s">
        <v>3</v>
      </c>
      <c r="D4" s="12" t="s">
        <v>4</v>
      </c>
      <c r="E4" s="12" t="s">
        <v>5</v>
      </c>
      <c r="F4" s="12" t="s">
        <v>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12" t="s">
        <v>12</v>
      </c>
      <c r="M4" s="12" t="s">
        <v>13</v>
      </c>
      <c r="N4" s="12" cm="1">
        <f t="array" aca="1" ref="N4" ca="1">+O4+N4:R4</f>
        <v>0</v>
      </c>
      <c r="O4" s="16" t="s">
        <v>197</v>
      </c>
      <c r="P4" s="16" t="s">
        <v>198</v>
      </c>
    </row>
    <row r="5" spans="1:16" ht="58.05" customHeight="1" x14ac:dyDescent="0.3">
      <c r="A5" s="6" t="s">
        <v>14</v>
      </c>
      <c r="B5" s="6" t="s">
        <v>15</v>
      </c>
      <c r="C5" s="6" t="s">
        <v>16</v>
      </c>
      <c r="D5" s="6" t="s">
        <v>17</v>
      </c>
      <c r="E5" s="7">
        <v>300</v>
      </c>
      <c r="F5" s="7">
        <v>46</v>
      </c>
      <c r="G5" s="7">
        <v>16</v>
      </c>
      <c r="H5" s="7">
        <v>16</v>
      </c>
      <c r="I5" s="7">
        <v>18.7</v>
      </c>
      <c r="J5" s="7" t="s">
        <v>194</v>
      </c>
      <c r="K5" s="7" t="s">
        <v>194</v>
      </c>
      <c r="L5" s="6" t="s">
        <v>194</v>
      </c>
      <c r="M5" s="6" t="s">
        <v>18</v>
      </c>
      <c r="N5" s="4" t="s">
        <v>19</v>
      </c>
      <c r="O5" t="s">
        <v>200</v>
      </c>
      <c r="P5" s="17" t="s">
        <v>199</v>
      </c>
    </row>
    <row r="6" spans="1:16" ht="58.05" customHeight="1" x14ac:dyDescent="0.3">
      <c r="A6" s="8" t="s">
        <v>14</v>
      </c>
      <c r="B6" s="8" t="s">
        <v>15</v>
      </c>
      <c r="C6" s="8" t="s">
        <v>20</v>
      </c>
      <c r="D6" s="8" t="s">
        <v>21</v>
      </c>
      <c r="E6" s="9">
        <v>300</v>
      </c>
      <c r="F6" s="9">
        <v>46</v>
      </c>
      <c r="G6" s="9">
        <v>14.5</v>
      </c>
      <c r="H6" s="9">
        <v>16</v>
      </c>
      <c r="I6" s="9">
        <v>18.7</v>
      </c>
      <c r="J6" s="9">
        <v>4000</v>
      </c>
      <c r="K6" s="9">
        <v>28</v>
      </c>
      <c r="L6" s="9">
        <v>155000</v>
      </c>
      <c r="M6" s="8" t="s">
        <v>22</v>
      </c>
      <c r="N6" s="4" t="s">
        <v>19</v>
      </c>
      <c r="O6" t="s">
        <v>200</v>
      </c>
      <c r="P6" s="17" t="s">
        <v>199</v>
      </c>
    </row>
    <row r="7" spans="1:16" ht="58.05" customHeight="1" x14ac:dyDescent="0.3">
      <c r="A7" s="6" t="s">
        <v>37</v>
      </c>
      <c r="B7" s="6" t="s">
        <v>15</v>
      </c>
      <c r="C7" s="6" t="s">
        <v>38</v>
      </c>
      <c r="D7" s="6" t="s">
        <v>27</v>
      </c>
      <c r="E7" s="7">
        <v>300</v>
      </c>
      <c r="F7" s="7">
        <v>50</v>
      </c>
      <c r="G7" s="7">
        <v>13.1</v>
      </c>
      <c r="H7" s="7">
        <v>14.2</v>
      </c>
      <c r="I7" s="7">
        <v>15.5</v>
      </c>
      <c r="J7" s="7" t="s">
        <v>194</v>
      </c>
      <c r="K7" s="7">
        <v>5</v>
      </c>
      <c r="L7" s="6" t="s">
        <v>194</v>
      </c>
      <c r="M7" s="6" t="s">
        <v>39</v>
      </c>
      <c r="N7" s="4" t="s">
        <v>40</v>
      </c>
      <c r="O7" t="s">
        <v>202</v>
      </c>
      <c r="P7" s="17" t="s">
        <v>201</v>
      </c>
    </row>
    <row r="8" spans="1:16" ht="58.05" customHeight="1" x14ac:dyDescent="0.3">
      <c r="A8" s="6" t="s">
        <v>14</v>
      </c>
      <c r="B8" s="6" t="s">
        <v>15</v>
      </c>
      <c r="C8" s="6" t="s">
        <v>23</v>
      </c>
      <c r="D8" s="6" t="s">
        <v>21</v>
      </c>
      <c r="E8" s="7">
        <v>300</v>
      </c>
      <c r="F8" s="7">
        <v>46</v>
      </c>
      <c r="G8" s="7">
        <v>14.5</v>
      </c>
      <c r="H8" s="7" t="s">
        <v>194</v>
      </c>
      <c r="I8" s="7">
        <v>18.7</v>
      </c>
      <c r="J8" s="7" t="s">
        <v>194</v>
      </c>
      <c r="K8" s="7" t="s">
        <v>194</v>
      </c>
      <c r="L8" s="6" t="s">
        <v>194</v>
      </c>
      <c r="M8" s="6" t="s">
        <v>24</v>
      </c>
      <c r="N8" s="4" t="s">
        <v>19</v>
      </c>
      <c r="O8" t="s">
        <v>200</v>
      </c>
      <c r="P8" s="17" t="s">
        <v>199</v>
      </c>
    </row>
    <row r="9" spans="1:16" ht="58.05" customHeight="1" x14ac:dyDescent="0.3">
      <c r="A9" s="8" t="s">
        <v>25</v>
      </c>
      <c r="B9" s="8" t="s">
        <v>15</v>
      </c>
      <c r="C9" s="8" t="s">
        <v>26</v>
      </c>
      <c r="D9" s="8" t="s">
        <v>27</v>
      </c>
      <c r="E9" s="9">
        <v>300</v>
      </c>
      <c r="F9" s="9">
        <v>50</v>
      </c>
      <c r="G9" s="9">
        <v>18.100000000000001</v>
      </c>
      <c r="H9" s="9" t="s">
        <v>194</v>
      </c>
      <c r="I9" s="9">
        <v>19</v>
      </c>
      <c r="J9" s="9" t="s">
        <v>194</v>
      </c>
      <c r="K9" s="9" t="s">
        <v>194</v>
      </c>
      <c r="L9" s="9">
        <v>200000</v>
      </c>
      <c r="M9" s="8" t="s">
        <v>28</v>
      </c>
      <c r="N9" s="4" t="s">
        <v>29</v>
      </c>
      <c r="O9" t="s">
        <v>204</v>
      </c>
      <c r="P9" s="17" t="s">
        <v>203</v>
      </c>
    </row>
    <row r="10" spans="1:16" ht="58.05" customHeight="1" x14ac:dyDescent="0.3">
      <c r="A10" s="6" t="s">
        <v>25</v>
      </c>
      <c r="B10" s="6" t="s">
        <v>15</v>
      </c>
      <c r="C10" s="6" t="s">
        <v>30</v>
      </c>
      <c r="D10" s="6" t="s">
        <v>31</v>
      </c>
      <c r="E10" s="7">
        <v>240</v>
      </c>
      <c r="F10" s="7">
        <v>32.5</v>
      </c>
      <c r="G10" s="7">
        <v>13.5</v>
      </c>
      <c r="H10" s="7" t="s">
        <v>194</v>
      </c>
      <c r="I10" s="7" t="s">
        <v>194</v>
      </c>
      <c r="J10" s="7" t="s">
        <v>194</v>
      </c>
      <c r="K10" s="7" t="s">
        <v>194</v>
      </c>
      <c r="L10" s="6" t="s">
        <v>194</v>
      </c>
      <c r="M10" s="6" t="s">
        <v>32</v>
      </c>
      <c r="N10" s="4" t="s">
        <v>29</v>
      </c>
      <c r="O10" t="s">
        <v>204</v>
      </c>
      <c r="P10" s="17" t="s">
        <v>203</v>
      </c>
    </row>
    <row r="11" spans="1:16" ht="58.05" customHeight="1" x14ac:dyDescent="0.3">
      <c r="A11" s="8" t="s">
        <v>33</v>
      </c>
      <c r="B11" s="8" t="s">
        <v>15</v>
      </c>
      <c r="C11" s="8" t="s">
        <v>34</v>
      </c>
      <c r="D11" s="8" t="s">
        <v>27</v>
      </c>
      <c r="E11" s="9"/>
      <c r="F11" s="9"/>
      <c r="G11" s="9">
        <v>19.5</v>
      </c>
      <c r="H11" s="9" t="s">
        <v>194</v>
      </c>
      <c r="I11" s="9">
        <v>20.2</v>
      </c>
      <c r="J11" s="9"/>
      <c r="K11" s="9">
        <v>60</v>
      </c>
      <c r="L11" s="8" t="s">
        <v>194</v>
      </c>
      <c r="M11" s="8" t="s">
        <v>35</v>
      </c>
      <c r="N11" s="4" t="s">
        <v>36</v>
      </c>
      <c r="O11" t="s">
        <v>206</v>
      </c>
      <c r="P11" t="s">
        <v>205</v>
      </c>
    </row>
    <row r="12" spans="1:16" ht="58.05" customHeight="1" x14ac:dyDescent="0.3">
      <c r="A12" s="8" t="s">
        <v>41</v>
      </c>
      <c r="B12" s="8" t="s">
        <v>15</v>
      </c>
      <c r="C12" s="8" t="s">
        <v>42</v>
      </c>
      <c r="D12" s="8" t="s">
        <v>43</v>
      </c>
      <c r="E12" s="9">
        <v>350</v>
      </c>
      <c r="F12" s="9">
        <v>24</v>
      </c>
      <c r="G12" s="9">
        <v>17.2</v>
      </c>
      <c r="H12" s="9" t="s">
        <v>194</v>
      </c>
      <c r="I12" s="9">
        <v>18.3</v>
      </c>
      <c r="J12" s="9">
        <v>4000</v>
      </c>
      <c r="K12" s="9">
        <v>52</v>
      </c>
      <c r="L12" s="8" t="s">
        <v>195</v>
      </c>
      <c r="M12" s="8" t="s">
        <v>44</v>
      </c>
      <c r="N12" s="4" t="s">
        <v>36</v>
      </c>
      <c r="O12" t="s">
        <v>208</v>
      </c>
      <c r="P12" t="s">
        <v>207</v>
      </c>
    </row>
    <row r="13" spans="1:16" ht="58.05" customHeight="1" x14ac:dyDescent="0.3">
      <c r="A13" s="6" t="s">
        <v>41</v>
      </c>
      <c r="B13" s="6" t="s">
        <v>15</v>
      </c>
      <c r="C13" s="6" t="s">
        <v>45</v>
      </c>
      <c r="D13" s="6" t="s">
        <v>43</v>
      </c>
      <c r="E13" s="7">
        <v>350</v>
      </c>
      <c r="F13" s="7">
        <v>24</v>
      </c>
      <c r="G13" s="7">
        <v>17.2</v>
      </c>
      <c r="H13" s="7" t="s">
        <v>194</v>
      </c>
      <c r="I13" s="7">
        <v>18.3</v>
      </c>
      <c r="J13" s="7" t="s">
        <v>194</v>
      </c>
      <c r="K13" s="7">
        <v>52</v>
      </c>
      <c r="L13" s="6" t="s">
        <v>194</v>
      </c>
      <c r="M13" s="6" t="s">
        <v>46</v>
      </c>
      <c r="N13" s="4" t="s">
        <v>36</v>
      </c>
      <c r="O13" t="s">
        <v>208</v>
      </c>
      <c r="P13" t="s">
        <v>207</v>
      </c>
    </row>
    <row r="14" spans="1:16" ht="58.05" customHeight="1" x14ac:dyDescent="0.3">
      <c r="A14" s="8" t="s">
        <v>47</v>
      </c>
      <c r="B14" s="8" t="s">
        <v>15</v>
      </c>
      <c r="C14" s="8" t="s">
        <v>48</v>
      </c>
      <c r="D14" s="8" t="s">
        <v>49</v>
      </c>
      <c r="E14" s="9">
        <v>299.92</v>
      </c>
      <c r="F14" s="9">
        <v>50</v>
      </c>
      <c r="G14" s="9">
        <v>9.3000000000000007</v>
      </c>
      <c r="H14" s="9" t="s">
        <v>194</v>
      </c>
      <c r="I14" s="9" t="s">
        <v>194</v>
      </c>
      <c r="J14" s="9" t="s">
        <v>194</v>
      </c>
      <c r="K14" s="9" t="s">
        <v>194</v>
      </c>
      <c r="L14" s="9" t="s">
        <v>194</v>
      </c>
      <c r="M14" s="8" t="s">
        <v>50</v>
      </c>
      <c r="N14" s="4" t="s">
        <v>51</v>
      </c>
      <c r="O14" t="s">
        <v>210</v>
      </c>
      <c r="P14" t="s">
        <v>209</v>
      </c>
    </row>
    <row r="15" spans="1:16" ht="58.05" customHeight="1" x14ac:dyDescent="0.3">
      <c r="A15" s="6" t="s">
        <v>52</v>
      </c>
      <c r="B15" s="6" t="s">
        <v>15</v>
      </c>
      <c r="C15" s="6" t="s">
        <v>53</v>
      </c>
      <c r="D15" s="6" t="s">
        <v>21</v>
      </c>
      <c r="E15" s="7">
        <v>239</v>
      </c>
      <c r="F15" s="7"/>
      <c r="G15" s="7">
        <v>9.1</v>
      </c>
      <c r="H15" s="7" t="s">
        <v>194</v>
      </c>
      <c r="I15" s="7" t="s">
        <v>194</v>
      </c>
      <c r="J15" s="7" t="s">
        <v>194</v>
      </c>
      <c r="K15" s="7" t="s">
        <v>194</v>
      </c>
      <c r="L15" s="7">
        <v>75000</v>
      </c>
      <c r="M15" s="6" t="s">
        <v>54</v>
      </c>
      <c r="N15" s="4" t="s">
        <v>55</v>
      </c>
      <c r="O15" t="s">
        <v>212</v>
      </c>
      <c r="P15" t="s">
        <v>211</v>
      </c>
    </row>
    <row r="16" spans="1:16" ht="58.05" customHeight="1" x14ac:dyDescent="0.3">
      <c r="A16" s="8" t="s">
        <v>52</v>
      </c>
      <c r="B16" s="8" t="s">
        <v>15</v>
      </c>
      <c r="C16" s="8" t="s">
        <v>56</v>
      </c>
      <c r="D16" s="8" t="s">
        <v>57</v>
      </c>
      <c r="E16" s="9">
        <v>238</v>
      </c>
      <c r="F16" s="9"/>
      <c r="G16" s="9">
        <v>7.1</v>
      </c>
      <c r="H16" s="9" t="s">
        <v>194</v>
      </c>
      <c r="I16" s="9" t="s">
        <v>194</v>
      </c>
      <c r="J16" s="9" t="s">
        <v>194</v>
      </c>
      <c r="K16" s="9" t="s">
        <v>194</v>
      </c>
      <c r="L16" s="9">
        <v>75000</v>
      </c>
      <c r="M16" s="8" t="s">
        <v>58</v>
      </c>
      <c r="N16" s="4" t="s">
        <v>55</v>
      </c>
      <c r="O16" t="s">
        <v>212</v>
      </c>
      <c r="P16" t="s">
        <v>211</v>
      </c>
    </row>
    <row r="17" spans="1:16" ht="58.05" customHeight="1" x14ac:dyDescent="0.3">
      <c r="A17" s="6" t="s">
        <v>52</v>
      </c>
      <c r="B17" s="6" t="s">
        <v>15</v>
      </c>
      <c r="C17" s="6" t="s">
        <v>59</v>
      </c>
      <c r="D17" s="6" t="s">
        <v>57</v>
      </c>
      <c r="E17" s="7">
        <v>239</v>
      </c>
      <c r="F17" s="7"/>
      <c r="G17" s="7">
        <v>8.1</v>
      </c>
      <c r="H17" s="7" t="s">
        <v>194</v>
      </c>
      <c r="I17" s="7" t="s">
        <v>194</v>
      </c>
      <c r="J17" s="7" t="s">
        <v>194</v>
      </c>
      <c r="K17" s="7" t="s">
        <v>194</v>
      </c>
      <c r="L17" s="7">
        <v>75000</v>
      </c>
      <c r="M17" s="6" t="s">
        <v>60</v>
      </c>
      <c r="N17" s="4" t="s">
        <v>55</v>
      </c>
      <c r="O17" t="s">
        <v>212</v>
      </c>
      <c r="P17" t="s">
        <v>211</v>
      </c>
    </row>
    <row r="18" spans="1:16" ht="58.05" customHeight="1" x14ac:dyDescent="0.3">
      <c r="A18" s="8" t="s">
        <v>61</v>
      </c>
      <c r="B18" s="8" t="s">
        <v>62</v>
      </c>
      <c r="C18" s="8" t="s">
        <v>63</v>
      </c>
      <c r="D18" s="8" t="s">
        <v>27</v>
      </c>
      <c r="E18" s="9">
        <v>300</v>
      </c>
      <c r="F18" s="9">
        <v>50</v>
      </c>
      <c r="G18" s="9"/>
      <c r="H18" s="9" t="s">
        <v>194</v>
      </c>
      <c r="I18" s="9" t="s">
        <v>194</v>
      </c>
      <c r="J18" s="9">
        <v>6200</v>
      </c>
      <c r="K18" s="9" t="s">
        <v>194</v>
      </c>
      <c r="L18" s="8" t="s">
        <v>194</v>
      </c>
      <c r="M18" s="8" t="s">
        <v>64</v>
      </c>
      <c r="N18" s="4" t="s">
        <v>65</v>
      </c>
    </row>
    <row r="19" spans="1:16" ht="58.05" customHeight="1" x14ac:dyDescent="0.3">
      <c r="A19" s="6" t="s">
        <v>66</v>
      </c>
      <c r="B19" s="6" t="s">
        <v>62</v>
      </c>
      <c r="C19" s="6" t="s">
        <v>67</v>
      </c>
      <c r="D19" s="6" t="s">
        <v>27</v>
      </c>
      <c r="E19" s="7"/>
      <c r="F19" s="7"/>
      <c r="G19" s="7">
        <v>19.600000000000001</v>
      </c>
      <c r="H19" s="9" t="s">
        <v>194</v>
      </c>
      <c r="I19" s="7">
        <v>14.9</v>
      </c>
      <c r="J19" s="7">
        <v>8650</v>
      </c>
      <c r="K19" s="7" t="s">
        <v>194</v>
      </c>
      <c r="L19" s="7">
        <v>220000</v>
      </c>
      <c r="M19" s="6" t="s">
        <v>68</v>
      </c>
      <c r="N19" s="4" t="s">
        <v>69</v>
      </c>
    </row>
    <row r="20" spans="1:16" ht="58.05" customHeight="1" x14ac:dyDescent="0.3">
      <c r="A20" s="8" t="s">
        <v>66</v>
      </c>
      <c r="B20" s="8" t="s">
        <v>62</v>
      </c>
      <c r="C20" s="8" t="s">
        <v>70</v>
      </c>
      <c r="D20" s="8" t="s">
        <v>27</v>
      </c>
      <c r="E20" s="9"/>
      <c r="F20" s="9"/>
      <c r="G20" s="9">
        <v>19.600000000000001</v>
      </c>
      <c r="H20" s="7" t="s">
        <v>194</v>
      </c>
      <c r="I20" s="9">
        <v>14.9</v>
      </c>
      <c r="J20" s="9" t="s">
        <v>194</v>
      </c>
      <c r="K20" s="9" t="s">
        <v>194</v>
      </c>
      <c r="L20" s="9">
        <v>220000</v>
      </c>
      <c r="M20" s="8" t="s">
        <v>71</v>
      </c>
      <c r="N20" s="4" t="s">
        <v>69</v>
      </c>
    </row>
    <row r="21" spans="1:16" ht="58.05" customHeight="1" x14ac:dyDescent="0.3">
      <c r="A21" s="6" t="s">
        <v>66</v>
      </c>
      <c r="B21" s="6" t="s">
        <v>62</v>
      </c>
      <c r="C21" s="6" t="s">
        <v>72</v>
      </c>
      <c r="D21" s="6" t="s">
        <v>27</v>
      </c>
      <c r="E21" s="7"/>
      <c r="F21" s="7"/>
      <c r="G21" s="7">
        <v>19</v>
      </c>
      <c r="H21" s="9" t="s">
        <v>194</v>
      </c>
      <c r="I21" s="7">
        <v>14.9</v>
      </c>
      <c r="J21" s="7" t="s">
        <v>194</v>
      </c>
      <c r="K21" s="7" t="s">
        <v>194</v>
      </c>
      <c r="L21" s="7">
        <v>220000</v>
      </c>
      <c r="M21" s="6" t="s">
        <v>73</v>
      </c>
      <c r="N21" s="4" t="s">
        <v>69</v>
      </c>
    </row>
    <row r="22" spans="1:16" ht="58.05" customHeight="1" x14ac:dyDescent="0.3">
      <c r="A22" s="8" t="s">
        <v>66</v>
      </c>
      <c r="B22" s="8" t="s">
        <v>62</v>
      </c>
      <c r="C22" s="8" t="s">
        <v>74</v>
      </c>
      <c r="D22" s="8" t="s">
        <v>27</v>
      </c>
      <c r="E22" s="9"/>
      <c r="F22" s="9"/>
      <c r="G22" s="9">
        <v>19</v>
      </c>
      <c r="H22" s="7" t="s">
        <v>194</v>
      </c>
      <c r="I22" s="9">
        <v>14.9</v>
      </c>
      <c r="J22" s="9" t="s">
        <v>194</v>
      </c>
      <c r="K22" s="9" t="s">
        <v>194</v>
      </c>
      <c r="L22" s="9">
        <v>220000</v>
      </c>
      <c r="M22" s="8" t="s">
        <v>73</v>
      </c>
      <c r="N22" s="4" t="s">
        <v>69</v>
      </c>
    </row>
    <row r="23" spans="1:16" ht="58.05" customHeight="1" x14ac:dyDescent="0.3">
      <c r="A23" s="6" t="s">
        <v>75</v>
      </c>
      <c r="B23" s="6" t="s">
        <v>62</v>
      </c>
      <c r="C23" s="6" t="s">
        <v>76</v>
      </c>
      <c r="D23" s="6" t="s">
        <v>27</v>
      </c>
      <c r="E23" s="7">
        <v>203.6</v>
      </c>
      <c r="F23" s="7"/>
      <c r="G23" s="7">
        <v>16.5</v>
      </c>
      <c r="H23" s="9" t="s">
        <v>194</v>
      </c>
      <c r="I23" s="7" t="s">
        <v>194</v>
      </c>
      <c r="J23" s="7">
        <v>6000</v>
      </c>
      <c r="K23" s="7" t="s">
        <v>194</v>
      </c>
      <c r="L23" s="7">
        <v>180000</v>
      </c>
      <c r="M23" s="6" t="s">
        <v>77</v>
      </c>
      <c r="N23" s="4" t="s">
        <v>78</v>
      </c>
    </row>
    <row r="24" spans="1:16" ht="58.05" customHeight="1" x14ac:dyDescent="0.3">
      <c r="A24" s="8" t="s">
        <v>75</v>
      </c>
      <c r="B24" s="8" t="s">
        <v>62</v>
      </c>
      <c r="C24" s="8" t="s">
        <v>79</v>
      </c>
      <c r="D24" s="8" t="s">
        <v>27</v>
      </c>
      <c r="E24" s="9">
        <v>188.7</v>
      </c>
      <c r="F24" s="9"/>
      <c r="G24" s="9">
        <v>16.7</v>
      </c>
      <c r="H24" s="7" t="s">
        <v>194</v>
      </c>
      <c r="I24" s="9" t="s">
        <v>194</v>
      </c>
      <c r="J24" s="9">
        <v>6000</v>
      </c>
      <c r="K24" s="9" t="s">
        <v>194</v>
      </c>
      <c r="L24" s="9">
        <v>230000</v>
      </c>
      <c r="M24" s="8" t="s">
        <v>77</v>
      </c>
      <c r="N24" s="4" t="s">
        <v>78</v>
      </c>
    </row>
    <row r="25" spans="1:16" ht="58.05" customHeight="1" x14ac:dyDescent="0.3">
      <c r="A25" s="6" t="s">
        <v>75</v>
      </c>
      <c r="B25" s="6" t="s">
        <v>62</v>
      </c>
      <c r="C25" s="6" t="s">
        <v>80</v>
      </c>
      <c r="D25" s="6" t="s">
        <v>27</v>
      </c>
      <c r="E25" s="7">
        <v>252</v>
      </c>
      <c r="F25" s="7"/>
      <c r="G25" s="7">
        <v>18.600000000000001</v>
      </c>
      <c r="H25" s="9" t="s">
        <v>194</v>
      </c>
      <c r="I25" s="7" t="s">
        <v>194</v>
      </c>
      <c r="J25" s="7">
        <v>8400</v>
      </c>
      <c r="K25" s="7" t="s">
        <v>194</v>
      </c>
      <c r="L25" s="7">
        <v>220000</v>
      </c>
      <c r="M25" s="6" t="s">
        <v>77</v>
      </c>
      <c r="N25" s="4" t="s">
        <v>78</v>
      </c>
    </row>
    <row r="26" spans="1:16" ht="58.05" customHeight="1" x14ac:dyDescent="0.3">
      <c r="A26" s="8" t="s">
        <v>81</v>
      </c>
      <c r="B26" s="8" t="s">
        <v>82</v>
      </c>
      <c r="C26" s="8" t="s">
        <v>83</v>
      </c>
      <c r="D26" s="8" t="s">
        <v>27</v>
      </c>
      <c r="E26" s="9"/>
      <c r="F26" s="9"/>
      <c r="G26" s="9"/>
      <c r="H26" s="9" t="s">
        <v>194</v>
      </c>
      <c r="I26" s="9" t="s">
        <v>194</v>
      </c>
      <c r="J26" s="9" t="s">
        <v>194</v>
      </c>
      <c r="K26" s="9" t="s">
        <v>194</v>
      </c>
      <c r="L26" s="8" t="s">
        <v>194</v>
      </c>
      <c r="M26" s="8" t="s">
        <v>84</v>
      </c>
      <c r="N26" s="11" t="s">
        <v>85</v>
      </c>
    </row>
    <row r="27" spans="1:16" ht="58.05" customHeight="1" x14ac:dyDescent="0.3">
      <c r="A27" s="6" t="s">
        <v>86</v>
      </c>
      <c r="B27" s="6" t="s">
        <v>82</v>
      </c>
      <c r="C27" s="6" t="s">
        <v>87</v>
      </c>
      <c r="D27" s="6" t="s">
        <v>27</v>
      </c>
      <c r="E27" s="7"/>
      <c r="F27" s="7"/>
      <c r="G27" s="7"/>
      <c r="H27" s="7" t="s">
        <v>194</v>
      </c>
      <c r="I27" s="7" t="s">
        <v>194</v>
      </c>
      <c r="J27" s="7"/>
      <c r="K27" s="7" t="s">
        <v>194</v>
      </c>
      <c r="L27" s="6" t="s">
        <v>88</v>
      </c>
      <c r="M27" s="10" t="s">
        <v>192</v>
      </c>
      <c r="N27" s="11" t="s">
        <v>193</v>
      </c>
    </row>
    <row r="28" spans="1:16" ht="58.05" customHeight="1" x14ac:dyDescent="0.3">
      <c r="A28" s="8" t="s">
        <v>89</v>
      </c>
      <c r="B28" s="8" t="s">
        <v>90</v>
      </c>
      <c r="C28" s="8" t="s">
        <v>91</v>
      </c>
      <c r="D28" s="8" t="s">
        <v>92</v>
      </c>
      <c r="E28" s="9"/>
      <c r="F28" s="9"/>
      <c r="G28" s="9">
        <v>15.24</v>
      </c>
      <c r="H28" s="9" t="s">
        <v>194</v>
      </c>
      <c r="I28" s="9">
        <v>15.24</v>
      </c>
      <c r="J28" s="9"/>
      <c r="K28" s="9" t="s">
        <v>194</v>
      </c>
      <c r="L28" s="8" t="s">
        <v>194</v>
      </c>
      <c r="M28" s="8" t="s">
        <v>93</v>
      </c>
      <c r="N28" s="4" t="s">
        <v>94</v>
      </c>
    </row>
    <row r="29" spans="1:16" ht="58.05" customHeight="1" x14ac:dyDescent="0.3">
      <c r="A29" s="6" t="s">
        <v>95</v>
      </c>
      <c r="B29" s="6" t="s">
        <v>96</v>
      </c>
      <c r="C29" s="6" t="s">
        <v>97</v>
      </c>
      <c r="D29" s="6" t="s">
        <v>92</v>
      </c>
      <c r="E29" s="7">
        <v>200</v>
      </c>
      <c r="F29" s="7">
        <v>32.799999999999997</v>
      </c>
      <c r="G29" s="7">
        <v>10</v>
      </c>
      <c r="H29" s="7" t="s">
        <v>194</v>
      </c>
      <c r="I29" s="7" t="s">
        <v>194</v>
      </c>
      <c r="J29" s="7" t="s">
        <v>194</v>
      </c>
      <c r="K29" s="7" t="s">
        <v>194</v>
      </c>
      <c r="L29" s="6" t="s">
        <v>194</v>
      </c>
      <c r="M29" s="6" t="s">
        <v>98</v>
      </c>
      <c r="N29" s="4" t="s">
        <v>99</v>
      </c>
    </row>
    <row r="30" spans="1:16" ht="58.05" customHeight="1" x14ac:dyDescent="0.3">
      <c r="A30" s="8" t="s">
        <v>100</v>
      </c>
      <c r="B30" s="8" t="s">
        <v>96</v>
      </c>
      <c r="C30" s="8" t="s">
        <v>101</v>
      </c>
      <c r="D30" s="8" t="s">
        <v>102</v>
      </c>
      <c r="E30" s="9"/>
      <c r="F30" s="9"/>
      <c r="G30" s="9">
        <v>9.6999999999999993</v>
      </c>
      <c r="H30" s="9" t="s">
        <v>194</v>
      </c>
      <c r="I30" s="9" t="s">
        <v>194</v>
      </c>
      <c r="J30" s="9" t="s">
        <v>196</v>
      </c>
      <c r="K30" s="9">
        <v>2.4</v>
      </c>
      <c r="L30" s="8" t="s">
        <v>194</v>
      </c>
      <c r="M30" s="8" t="s">
        <v>103</v>
      </c>
      <c r="N30" s="4" t="s">
        <v>104</v>
      </c>
    </row>
    <row r="31" spans="1:16" ht="58.05" customHeight="1" x14ac:dyDescent="0.3">
      <c r="A31" s="6" t="s">
        <v>105</v>
      </c>
      <c r="B31" s="6" t="s">
        <v>106</v>
      </c>
      <c r="C31" s="6" t="s">
        <v>107</v>
      </c>
      <c r="D31" s="6" t="s">
        <v>27</v>
      </c>
      <c r="E31" s="7">
        <v>292</v>
      </c>
      <c r="F31" s="7">
        <v>50</v>
      </c>
      <c r="G31" s="7">
        <v>18.5</v>
      </c>
      <c r="H31" s="7" t="s">
        <v>194</v>
      </c>
      <c r="I31" s="7" t="s">
        <v>194</v>
      </c>
      <c r="J31" s="7">
        <v>1500</v>
      </c>
      <c r="K31" s="7"/>
      <c r="L31" s="7">
        <v>220000</v>
      </c>
      <c r="M31" s="6" t="s">
        <v>108</v>
      </c>
      <c r="N31" s="4" t="s">
        <v>109</v>
      </c>
    </row>
    <row r="32" spans="1:16" ht="58.05" customHeight="1" x14ac:dyDescent="0.3">
      <c r="A32" s="8" t="s">
        <v>105</v>
      </c>
      <c r="B32" s="8" t="s">
        <v>106</v>
      </c>
      <c r="C32" s="8" t="s">
        <v>110</v>
      </c>
      <c r="D32" s="8" t="s">
        <v>27</v>
      </c>
      <c r="E32" s="9">
        <v>292</v>
      </c>
      <c r="F32" s="9">
        <v>50</v>
      </c>
      <c r="G32" s="9">
        <v>15</v>
      </c>
      <c r="H32" s="9" t="s">
        <v>194</v>
      </c>
      <c r="I32" s="9" t="s">
        <v>194</v>
      </c>
      <c r="J32" s="9" t="s">
        <v>194</v>
      </c>
      <c r="K32" s="9" t="s">
        <v>194</v>
      </c>
      <c r="L32" s="9">
        <v>220000</v>
      </c>
      <c r="M32" s="8" t="s">
        <v>111</v>
      </c>
      <c r="N32" s="4" t="s">
        <v>109</v>
      </c>
    </row>
    <row r="33" spans="1:14" ht="58.05" customHeight="1" x14ac:dyDescent="0.3">
      <c r="A33" s="6" t="s">
        <v>105</v>
      </c>
      <c r="B33" s="6" t="s">
        <v>106</v>
      </c>
      <c r="C33" s="6" t="s">
        <v>112</v>
      </c>
      <c r="D33" s="6" t="s">
        <v>113</v>
      </c>
      <c r="E33" s="7">
        <v>240</v>
      </c>
      <c r="F33" s="7">
        <v>34</v>
      </c>
      <c r="G33" s="7">
        <v>14.5</v>
      </c>
      <c r="H33" s="9" t="s">
        <v>194</v>
      </c>
      <c r="I33" s="7" t="s">
        <v>194</v>
      </c>
      <c r="J33" s="7" t="s">
        <v>194</v>
      </c>
      <c r="K33" s="7" t="s">
        <v>194</v>
      </c>
      <c r="L33" s="7">
        <v>100000</v>
      </c>
      <c r="M33" s="6" t="s">
        <v>114</v>
      </c>
      <c r="N33" s="4" t="s">
        <v>109</v>
      </c>
    </row>
    <row r="34" spans="1:14" ht="58.05" customHeight="1" x14ac:dyDescent="0.3">
      <c r="A34" s="8" t="s">
        <v>105</v>
      </c>
      <c r="B34" s="8" t="s">
        <v>106</v>
      </c>
      <c r="C34" s="8" t="s">
        <v>115</v>
      </c>
      <c r="D34" s="8" t="s">
        <v>27</v>
      </c>
      <c r="E34" s="9">
        <v>260</v>
      </c>
      <c r="F34" s="9">
        <v>43</v>
      </c>
      <c r="G34" s="9">
        <v>12.5</v>
      </c>
      <c r="H34" s="7" t="s">
        <v>194</v>
      </c>
      <c r="I34" s="9" t="s">
        <v>194</v>
      </c>
      <c r="J34" s="9" t="s">
        <v>194</v>
      </c>
      <c r="K34" s="9" t="s">
        <v>194</v>
      </c>
      <c r="L34" s="9">
        <v>100000</v>
      </c>
      <c r="M34" s="8" t="s">
        <v>116</v>
      </c>
      <c r="N34" s="4" t="s">
        <v>109</v>
      </c>
    </row>
    <row r="35" spans="1:14" ht="58.05" customHeight="1" x14ac:dyDescent="0.3">
      <c r="A35" s="6" t="s">
        <v>117</v>
      </c>
      <c r="B35" s="6" t="s">
        <v>106</v>
      </c>
      <c r="C35" s="6" t="s">
        <v>118</v>
      </c>
      <c r="D35" s="6" t="s">
        <v>27</v>
      </c>
      <c r="E35" s="7">
        <v>316.60000000000002</v>
      </c>
      <c r="F35" s="7">
        <v>30</v>
      </c>
      <c r="G35" s="7">
        <v>12.83</v>
      </c>
      <c r="H35" s="9" t="s">
        <v>194</v>
      </c>
      <c r="I35" s="7" t="s">
        <v>194</v>
      </c>
      <c r="J35" s="7" t="s">
        <v>194</v>
      </c>
      <c r="K35" s="7" t="s">
        <v>194</v>
      </c>
      <c r="L35" s="6" t="s">
        <v>194</v>
      </c>
      <c r="M35" s="6" t="s">
        <v>119</v>
      </c>
      <c r="N35" s="4" t="s">
        <v>109</v>
      </c>
    </row>
    <row r="36" spans="1:14" ht="58.05" customHeight="1" x14ac:dyDescent="0.3">
      <c r="A36" s="8" t="s">
        <v>117</v>
      </c>
      <c r="B36" s="8" t="s">
        <v>106</v>
      </c>
      <c r="C36" s="8" t="s">
        <v>120</v>
      </c>
      <c r="D36" s="8" t="s">
        <v>27</v>
      </c>
      <c r="E36" s="9">
        <v>248.4</v>
      </c>
      <c r="F36" s="9">
        <v>60</v>
      </c>
      <c r="G36" s="9">
        <v>14.6</v>
      </c>
      <c r="H36" s="7" t="s">
        <v>194</v>
      </c>
      <c r="I36" s="9" t="s">
        <v>194</v>
      </c>
      <c r="J36" s="9" t="s">
        <v>194</v>
      </c>
      <c r="K36" s="9" t="s">
        <v>194</v>
      </c>
      <c r="L36" s="8" t="s">
        <v>194</v>
      </c>
      <c r="M36" s="8" t="s">
        <v>119</v>
      </c>
      <c r="N36" s="4" t="s">
        <v>109</v>
      </c>
    </row>
    <row r="37" spans="1:14" ht="58.05" customHeight="1" x14ac:dyDescent="0.3">
      <c r="A37" s="6" t="s">
        <v>121</v>
      </c>
      <c r="B37" s="6" t="s">
        <v>106</v>
      </c>
      <c r="C37" s="6" t="s">
        <v>122</v>
      </c>
      <c r="D37" s="6" t="s">
        <v>27</v>
      </c>
      <c r="E37" s="7">
        <v>292</v>
      </c>
      <c r="F37" s="7">
        <v>45</v>
      </c>
      <c r="G37" s="7">
        <v>17.100000000000001</v>
      </c>
      <c r="H37" s="9" t="s">
        <v>194</v>
      </c>
      <c r="I37" s="7">
        <v>21</v>
      </c>
      <c r="J37" s="7" t="s">
        <v>194</v>
      </c>
      <c r="K37" s="7" t="s">
        <v>194</v>
      </c>
      <c r="L37" s="6" t="s">
        <v>194</v>
      </c>
      <c r="M37" s="6" t="s">
        <v>123</v>
      </c>
      <c r="N37" s="4" t="s">
        <v>124</v>
      </c>
    </row>
    <row r="38" spans="1:14" x14ac:dyDescent="0.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</row>
  </sheetData>
  <autoFilter ref="A4:N37" xr:uid="{00000000-0009-0000-0000-000000000000}">
    <sortState xmlns:xlrd2="http://schemas.microsoft.com/office/spreadsheetml/2017/richdata2" ref="A5:N37">
      <sortCondition descending="1" ref="H4:H37"/>
    </sortState>
  </autoFilter>
  <mergeCells count="2">
    <mergeCell ref="A2:N2"/>
    <mergeCell ref="A1:N1"/>
  </mergeCells>
  <hyperlinks>
    <hyperlink ref="N5" r:id="rId1" xr:uid="{00000000-0004-0000-0000-000000000000}"/>
    <hyperlink ref="N6" r:id="rId2" xr:uid="{00000000-0004-0000-0000-000001000000}"/>
    <hyperlink ref="N8" r:id="rId3" xr:uid="{00000000-0004-0000-0000-000002000000}"/>
    <hyperlink ref="N9" r:id="rId4" xr:uid="{00000000-0004-0000-0000-000003000000}"/>
    <hyperlink ref="N10" r:id="rId5" xr:uid="{00000000-0004-0000-0000-000004000000}"/>
    <hyperlink ref="N11" r:id="rId6" xr:uid="{00000000-0004-0000-0000-000005000000}"/>
    <hyperlink ref="N7" r:id="rId7" xr:uid="{00000000-0004-0000-0000-000006000000}"/>
    <hyperlink ref="N12" r:id="rId8" xr:uid="{00000000-0004-0000-0000-000007000000}"/>
    <hyperlink ref="N13" r:id="rId9" xr:uid="{00000000-0004-0000-0000-000008000000}"/>
    <hyperlink ref="N14" r:id="rId10" xr:uid="{00000000-0004-0000-0000-000009000000}"/>
    <hyperlink ref="N15" r:id="rId11" xr:uid="{00000000-0004-0000-0000-00000A000000}"/>
    <hyperlink ref="N16" r:id="rId12" xr:uid="{00000000-0004-0000-0000-00000B000000}"/>
    <hyperlink ref="N17" r:id="rId13" xr:uid="{00000000-0004-0000-0000-00000C000000}"/>
    <hyperlink ref="N18" r:id="rId14" xr:uid="{00000000-0004-0000-0000-00000D000000}"/>
    <hyperlink ref="N19" r:id="rId15" xr:uid="{00000000-0004-0000-0000-00000E000000}"/>
    <hyperlink ref="N20" r:id="rId16" xr:uid="{00000000-0004-0000-0000-00000F000000}"/>
    <hyperlink ref="N21" r:id="rId17" xr:uid="{00000000-0004-0000-0000-000010000000}"/>
    <hyperlink ref="N22" r:id="rId18" xr:uid="{00000000-0004-0000-0000-000011000000}"/>
    <hyperlink ref="N23" r:id="rId19" xr:uid="{00000000-0004-0000-0000-000012000000}"/>
    <hyperlink ref="N24" r:id="rId20" xr:uid="{00000000-0004-0000-0000-000013000000}"/>
    <hyperlink ref="N25" r:id="rId21" xr:uid="{00000000-0004-0000-0000-000014000000}"/>
    <hyperlink ref="N26" r:id="rId22" xr:uid="{00000000-0004-0000-0000-000015000000}"/>
    <hyperlink ref="N28" r:id="rId23" xr:uid="{00000000-0004-0000-0000-000016000000}"/>
    <hyperlink ref="N29" r:id="rId24" xr:uid="{00000000-0004-0000-0000-000017000000}"/>
    <hyperlink ref="N30" r:id="rId25" xr:uid="{00000000-0004-0000-0000-000018000000}"/>
    <hyperlink ref="N31" r:id="rId26" xr:uid="{00000000-0004-0000-0000-000019000000}"/>
    <hyperlink ref="N32" r:id="rId27" xr:uid="{00000000-0004-0000-0000-00001A000000}"/>
    <hyperlink ref="N33" r:id="rId28" xr:uid="{00000000-0004-0000-0000-00001B000000}"/>
    <hyperlink ref="N34" r:id="rId29" xr:uid="{00000000-0004-0000-0000-00001C000000}"/>
    <hyperlink ref="N35" r:id="rId30" xr:uid="{00000000-0004-0000-0000-00001D000000}"/>
    <hyperlink ref="N36" r:id="rId31" xr:uid="{00000000-0004-0000-0000-00001E000000}"/>
    <hyperlink ref="N37" r:id="rId32" xr:uid="{00000000-0004-0000-0000-00001F000000}"/>
    <hyperlink ref="M27" r:id="rId33" display="https://www.dephub.go.id/" xr:uid="{0C54B0B4-5D13-43B4-9CBD-F01F7781E692}"/>
    <hyperlink ref="N27" r:id="rId34" xr:uid="{5C36FD79-EC29-4767-B247-8AF77E99D08A}"/>
  </hyperlink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4.4" x14ac:dyDescent="0.3"/>
  <cols>
    <col min="1" max="1" width="6" customWidth="1"/>
    <col min="2" max="2" width="120" customWidth="1"/>
  </cols>
  <sheetData>
    <row r="1" spans="1:2" ht="19.8" x14ac:dyDescent="0.4">
      <c r="A1" s="2" t="s">
        <v>125</v>
      </c>
    </row>
    <row r="3" spans="1:2" ht="42" customHeight="1" x14ac:dyDescent="0.3">
      <c r="A3" t="s">
        <v>126</v>
      </c>
      <c r="B3" s="1" t="s">
        <v>127</v>
      </c>
    </row>
    <row r="4" spans="1:2" ht="42" customHeight="1" x14ac:dyDescent="0.3">
      <c r="A4" t="s">
        <v>128</v>
      </c>
      <c r="B4" s="1" t="s">
        <v>129</v>
      </c>
    </row>
    <row r="5" spans="1:2" ht="42" customHeight="1" x14ac:dyDescent="0.3">
      <c r="A5" t="s">
        <v>130</v>
      </c>
      <c r="B5" s="1" t="s">
        <v>131</v>
      </c>
    </row>
    <row r="6" spans="1:2" ht="42" customHeight="1" x14ac:dyDescent="0.3">
      <c r="A6" t="s">
        <v>132</v>
      </c>
      <c r="B6" s="1" t="s">
        <v>133</v>
      </c>
    </row>
    <row r="7" spans="1:2" ht="42" customHeight="1" x14ac:dyDescent="0.3">
      <c r="A7" t="s">
        <v>134</v>
      </c>
      <c r="B7" s="1" t="s">
        <v>135</v>
      </c>
    </row>
    <row r="8" spans="1:2" ht="42" customHeight="1" x14ac:dyDescent="0.3">
      <c r="A8" t="s">
        <v>136</v>
      </c>
      <c r="B8" s="1" t="s">
        <v>137</v>
      </c>
    </row>
    <row r="9" spans="1:2" ht="42" customHeight="1" x14ac:dyDescent="0.3">
      <c r="A9" t="s">
        <v>138</v>
      </c>
      <c r="B9" s="1" t="s">
        <v>139</v>
      </c>
    </row>
    <row r="10" spans="1:2" ht="42" customHeight="1" x14ac:dyDescent="0.3">
      <c r="A10" t="s">
        <v>140</v>
      </c>
      <c r="B10" s="1" t="s">
        <v>141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" customWidth="1"/>
    <col min="2" max="2" width="16" customWidth="1"/>
    <col min="3" max="3" width="48" customWidth="1"/>
    <col min="4" max="4" width="30" customWidth="1"/>
    <col min="5" max="5" width="80" customWidth="1"/>
  </cols>
  <sheetData>
    <row r="1" spans="1:5" x14ac:dyDescent="0.3">
      <c r="A1" s="3" t="s">
        <v>142</v>
      </c>
      <c r="B1" s="3" t="s">
        <v>2</v>
      </c>
      <c r="C1" s="3" t="s">
        <v>143</v>
      </c>
      <c r="D1" s="3" t="s">
        <v>144</v>
      </c>
      <c r="E1" s="3" t="s">
        <v>145</v>
      </c>
    </row>
    <row r="2" spans="1:5" x14ac:dyDescent="0.3">
      <c r="A2" s="1" t="s">
        <v>14</v>
      </c>
      <c r="B2" s="1" t="s">
        <v>15</v>
      </c>
      <c r="C2" s="1" t="s">
        <v>146</v>
      </c>
      <c r="D2" s="1" t="s">
        <v>147</v>
      </c>
      <c r="E2" s="1" t="s">
        <v>148</v>
      </c>
    </row>
    <row r="3" spans="1:5" x14ac:dyDescent="0.3">
      <c r="A3" s="1" t="s">
        <v>25</v>
      </c>
      <c r="B3" s="1" t="s">
        <v>15</v>
      </c>
      <c r="C3" s="1" t="s">
        <v>149</v>
      </c>
      <c r="D3" s="1" t="s">
        <v>147</v>
      </c>
      <c r="E3" s="1" t="s">
        <v>150</v>
      </c>
    </row>
    <row r="4" spans="1:5" x14ac:dyDescent="0.3">
      <c r="A4" s="1" t="s">
        <v>33</v>
      </c>
      <c r="B4" s="1" t="s">
        <v>15</v>
      </c>
      <c r="C4" s="1" t="s">
        <v>151</v>
      </c>
      <c r="D4" s="1" t="s">
        <v>152</v>
      </c>
      <c r="E4" s="1" t="s">
        <v>153</v>
      </c>
    </row>
    <row r="5" spans="1:5" x14ac:dyDescent="0.3">
      <c r="A5" s="1" t="s">
        <v>37</v>
      </c>
      <c r="B5" s="1" t="s">
        <v>15</v>
      </c>
      <c r="C5" s="1" t="s">
        <v>154</v>
      </c>
      <c r="D5" s="1" t="s">
        <v>152</v>
      </c>
      <c r="E5" s="1" t="s">
        <v>155</v>
      </c>
    </row>
    <row r="6" spans="1:5" x14ac:dyDescent="0.3">
      <c r="A6" s="1" t="s">
        <v>41</v>
      </c>
      <c r="B6" s="1" t="s">
        <v>15</v>
      </c>
      <c r="C6" s="1" t="s">
        <v>156</v>
      </c>
      <c r="D6" s="1" t="s">
        <v>152</v>
      </c>
      <c r="E6" s="1" t="s">
        <v>157</v>
      </c>
    </row>
    <row r="7" spans="1:5" x14ac:dyDescent="0.3">
      <c r="A7" s="1" t="s">
        <v>47</v>
      </c>
      <c r="B7" s="1" t="s">
        <v>15</v>
      </c>
      <c r="C7" s="1" t="s">
        <v>158</v>
      </c>
      <c r="D7" s="1" t="s">
        <v>159</v>
      </c>
      <c r="E7" s="1" t="s">
        <v>160</v>
      </c>
    </row>
    <row r="8" spans="1:5" x14ac:dyDescent="0.3">
      <c r="A8" s="1" t="s">
        <v>52</v>
      </c>
      <c r="B8" s="1" t="s">
        <v>15</v>
      </c>
      <c r="C8" s="1" t="s">
        <v>161</v>
      </c>
      <c r="D8" s="1" t="s">
        <v>147</v>
      </c>
      <c r="E8" s="1" t="s">
        <v>162</v>
      </c>
    </row>
    <row r="9" spans="1:5" x14ac:dyDescent="0.3">
      <c r="A9" s="1" t="s">
        <v>61</v>
      </c>
      <c r="B9" s="1" t="s">
        <v>62</v>
      </c>
      <c r="C9" s="1" t="s">
        <v>163</v>
      </c>
      <c r="D9" s="1" t="s">
        <v>152</v>
      </c>
      <c r="E9" s="1" t="s">
        <v>164</v>
      </c>
    </row>
    <row r="10" spans="1:5" x14ac:dyDescent="0.3">
      <c r="A10" s="1" t="s">
        <v>66</v>
      </c>
      <c r="B10" s="1" t="s">
        <v>62</v>
      </c>
      <c r="C10" s="1" t="s">
        <v>165</v>
      </c>
      <c r="D10" s="1" t="s">
        <v>152</v>
      </c>
      <c r="E10" s="1" t="s">
        <v>166</v>
      </c>
    </row>
    <row r="11" spans="1:5" x14ac:dyDescent="0.3">
      <c r="A11" s="1" t="s">
        <v>75</v>
      </c>
      <c r="B11" s="1" t="s">
        <v>62</v>
      </c>
      <c r="C11" s="1" t="s">
        <v>167</v>
      </c>
      <c r="D11" s="1" t="s">
        <v>147</v>
      </c>
      <c r="E11" s="1" t="s">
        <v>168</v>
      </c>
    </row>
    <row r="12" spans="1:5" x14ac:dyDescent="0.3">
      <c r="A12" s="1" t="s">
        <v>81</v>
      </c>
      <c r="B12" s="1" t="s">
        <v>82</v>
      </c>
      <c r="C12" s="1" t="s">
        <v>169</v>
      </c>
      <c r="D12" s="1" t="s">
        <v>170</v>
      </c>
      <c r="E12" s="1" t="s">
        <v>171</v>
      </c>
    </row>
    <row r="13" spans="1:5" ht="28.8" x14ac:dyDescent="0.3">
      <c r="A13" s="1" t="s">
        <v>86</v>
      </c>
      <c r="B13" s="1" t="s">
        <v>82</v>
      </c>
      <c r="C13" s="1" t="s">
        <v>172</v>
      </c>
      <c r="D13" s="1" t="s">
        <v>173</v>
      </c>
      <c r="E13" s="1" t="s">
        <v>174</v>
      </c>
    </row>
    <row r="14" spans="1:5" x14ac:dyDescent="0.3">
      <c r="A14" s="1" t="s">
        <v>89</v>
      </c>
      <c r="B14" s="1" t="s">
        <v>90</v>
      </c>
      <c r="C14" s="1" t="s">
        <v>175</v>
      </c>
      <c r="D14" s="1" t="s">
        <v>176</v>
      </c>
      <c r="E14" s="1" t="s">
        <v>177</v>
      </c>
    </row>
    <row r="15" spans="1:5" ht="28.8" x14ac:dyDescent="0.3">
      <c r="A15" s="1" t="s">
        <v>95</v>
      </c>
      <c r="B15" s="1" t="s">
        <v>96</v>
      </c>
      <c r="C15" s="1" t="s">
        <v>178</v>
      </c>
      <c r="D15" s="1" t="s">
        <v>179</v>
      </c>
      <c r="E15" s="1" t="s">
        <v>180</v>
      </c>
    </row>
    <row r="16" spans="1:5" x14ac:dyDescent="0.3">
      <c r="A16" s="1" t="s">
        <v>100</v>
      </c>
      <c r="B16" s="1" t="s">
        <v>96</v>
      </c>
      <c r="C16" s="1" t="s">
        <v>181</v>
      </c>
      <c r="D16" s="1" t="s">
        <v>147</v>
      </c>
      <c r="E16" s="1" t="s">
        <v>182</v>
      </c>
    </row>
    <row r="17" spans="1:5" x14ac:dyDescent="0.3">
      <c r="A17" s="1" t="s">
        <v>105</v>
      </c>
      <c r="B17" s="1" t="s">
        <v>106</v>
      </c>
      <c r="C17" s="1" t="s">
        <v>183</v>
      </c>
      <c r="D17" s="1" t="s">
        <v>184</v>
      </c>
      <c r="E17" s="1" t="s">
        <v>185</v>
      </c>
    </row>
    <row r="18" spans="1:5" x14ac:dyDescent="0.3">
      <c r="A18" s="1" t="s">
        <v>117</v>
      </c>
      <c r="B18" s="1" t="s">
        <v>106</v>
      </c>
      <c r="C18" s="1" t="s">
        <v>186</v>
      </c>
      <c r="D18" s="1" t="s">
        <v>184</v>
      </c>
      <c r="E18" s="1" t="s">
        <v>187</v>
      </c>
    </row>
    <row r="19" spans="1:5" ht="28.8" x14ac:dyDescent="0.3">
      <c r="A19" s="1" t="s">
        <v>121</v>
      </c>
      <c r="B19" s="1" t="s">
        <v>106</v>
      </c>
      <c r="C19" s="1" t="s">
        <v>188</v>
      </c>
      <c r="D19" s="1" t="s">
        <v>189</v>
      </c>
      <c r="E19" s="1" t="s">
        <v>190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Port Infrastructure Data</vt:lpstr>
      <vt:lpstr>Data Notes</vt:lpstr>
      <vt:lpstr>Source Register</vt:lpstr>
      <vt:lpstr>'Port Infrastructure Data'!Print_Titles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HASAN RAZA SURIYA</cp:lastModifiedBy>
  <dcterms:created xsi:type="dcterms:W3CDTF">2026-09-27T07:05:47Z</dcterms:created>
  <dcterms:modified xsi:type="dcterms:W3CDTF">2026-09-27T19:36:17Z</dcterms:modified>
</cp:coreProperties>
</file>